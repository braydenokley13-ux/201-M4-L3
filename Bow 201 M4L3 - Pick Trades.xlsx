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_Challenge" sheetId="1" r:id="rId5"/>
    <sheet state="visible" name="Trades" sheetId="2" r:id="rId6"/>
  </sheets>
  <definedNames/>
  <calcPr/>
</workbook>
</file>

<file path=xl/sharedStrings.xml><?xml version="1.0" encoding="utf-8"?>
<sst xmlns="http://schemas.openxmlformats.org/spreadsheetml/2006/main" count="64" uniqueCount="49">
  <si>
    <t>Track 201 · Module 4 · Lesson 3 — The 5-Minute GM Challenge</t>
  </si>
  <si>
    <t>Round</t>
  </si>
  <si>
    <t>Roster Window</t>
  </si>
  <si>
    <t>Your Pick</t>
  </si>
  <si>
    <t>Your Move</t>
  </si>
  <si>
    <t>Description</t>
  </si>
  <si>
    <t>EV Score</t>
  </si>
  <si>
    <t>Surplus Score</t>
  </si>
  <si>
    <t>Window Fit Score</t>
  </si>
  <si>
    <t>Round Total</t>
  </si>
  <si>
    <t>Key</t>
  </si>
  <si>
    <t>4-year rebuild</t>
  </si>
  <si>
    <t>Pick 8</t>
  </si>
  <si>
    <t>STARTING</t>
  </si>
  <si>
    <t>2-year push</t>
  </si>
  <si>
    <t>Pick 12</t>
  </si>
  <si>
    <t>1-year title</t>
  </si>
  <si>
    <t>Pick 16</t>
  </si>
  <si>
    <t>Total GM Score:</t>
  </si>
  <si>
    <t>Total</t>
  </si>
  <si>
    <t>GM Rating:</t>
  </si>
  <si>
    <t>GM Rating</t>
  </si>
  <si>
    <t>Eligibility</t>
  </si>
  <si>
    <t>Click “Submit My Score” to see if you earned the Claim Code.</t>
  </si>
  <si>
    <t>(Your Claim Code will be sent to your email if you passed.)</t>
  </si>
  <si>
    <t>Option</t>
  </si>
  <si>
    <t>EV</t>
  </si>
  <si>
    <t>Surplus</t>
  </si>
  <si>
    <t>WindowFit</t>
  </si>
  <si>
    <t>Trade Up</t>
  </si>
  <si>
    <t>Receive Pick 5; Send Pick 8 + two future 2nds</t>
  </si>
  <si>
    <t>Trade Down</t>
  </si>
  <si>
    <t>Receive Pick 15 + Pick 34; Send Pick 8</t>
  </si>
  <si>
    <t>Keep</t>
  </si>
  <si>
    <t>Keep Pick 8</t>
  </si>
  <si>
    <t>Vet Trade</t>
  </si>
  <si>
    <t>Receive 27-year-old starter wing "Darius Flint"; Send Pick 8</t>
  </si>
  <si>
    <t>Big Swing Star Trade</t>
  </si>
  <si>
    <t>Receive near-All-Star guard "Kyree Dalton" (30); Send Pick 8 + unprotected 2028 1st</t>
  </si>
  <si>
    <t>Receive Pick 7; Send Pick 12 + Pick 40</t>
  </si>
  <si>
    <t>Receive Pick 20 + 2027 top-20 protected 1st; Send Pick 12</t>
  </si>
  <si>
    <t>Keep Pick 12</t>
  </si>
  <si>
    <t>Receive 31-year-old stretch big "Miles Harrow"; Send Pick 12</t>
  </si>
  <si>
    <t>Receive borderline All-Star wing "Trey Rollins" (25); Send Pick 12 + two 2nds</t>
  </si>
  <si>
    <t>Receive Pick 10; Send Pick 16 + Pick 42</t>
  </si>
  <si>
    <t>Receive Pick 24 + rotation big "Reese Morrow"</t>
  </si>
  <si>
    <t>Keep Pick 16</t>
  </si>
  <si>
    <t>Receive 30-year-old starter guard "Victor Hale" (2-year $12M); Send Pick 16</t>
  </si>
  <si>
    <t>Receive star forward "Landon Cruz"; Send Pick 16 + future 1st + young player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</si>
</sst>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 Mono"/>
    </font>
    <font>
      <color theme="1"/>
      <name val="Albert Sans"/>
    </font>
  </fonts>
  <fills count="3">
    <fill>
      <patternFill patternType="none"/>
    </fill>
    <fill>
      <patternFill patternType="lightGray"/>
    </fill>
    <fill>
      <patternFill patternType="solid">
        <fgColor rgb="FFD9EAFE"/>
        <bgColor rgb="FFD9EAF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borderId="2" fillId="2" fontId="3" numFmtId="0" xfId="0" applyBorder="1" applyFont="1"/>
    <xf borderId="3" fillId="2" fontId="1" numFmtId="0" xfId="0" applyBorder="1" applyFont="1"/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14</xdr:row>
      <xdr:rowOff>57150</xdr:rowOff>
    </xdr:from>
    <xdr:ext cx="3886200" cy="1314450"/>
    <xdr:grpSp>
      <xdr:nvGrpSpPr>
        <xdr:cNvPr id="2" name="Shape 2" title="Drawing"/>
        <xdr:cNvGrpSpPr/>
      </xdr:nvGrpSpPr>
      <xdr:grpSpPr>
        <a:xfrm>
          <a:off x="1727050" y="913725"/>
          <a:ext cx="3865800" cy="1295400"/>
          <a:chOff x="1727050" y="913725"/>
          <a:chExt cx="3865800" cy="1295400"/>
        </a:xfrm>
      </xdr:grpSpPr>
      <xdr:sp>
        <xdr:nvSpPr>
          <xdr:cNvPr id="3" name="Shape 3"/>
          <xdr:cNvSpPr/>
        </xdr:nvSpPr>
        <xdr:spPr>
          <a:xfrm>
            <a:off x="1727050" y="913725"/>
            <a:ext cx="3865800" cy="1295400"/>
          </a:xfrm>
          <a:prstGeom prst="rect">
            <a:avLst/>
          </a:prstGeom>
          <a:solidFill>
            <a:srgbClr val="1A73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08600" y="1204925"/>
            <a:ext cx="2681100" cy="682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Submit Score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4" max="4" width="20.5"/>
    <col customWidth="1" min="5" max="5" width="53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>
      <c r="A4" s="3">
        <v>1.0</v>
      </c>
      <c r="B4" s="4" t="s">
        <v>11</v>
      </c>
      <c r="C4" s="4" t="s">
        <v>12</v>
      </c>
      <c r="D4" s="4" t="s">
        <v>13</v>
      </c>
      <c r="E4" s="5" t="str">
        <f t="array" ref="E4">IF($D4="","",INDEX(Trades!$C$2:$C$39, MATCH($A4&amp;"|"&amp;$D4, Trades!$G$2:$G$39, 0)))
</f>
        <v>#N/A</v>
      </c>
      <c r="F4" s="5" t="str">
        <f t="array" ref="F4">IF($D4="","", INDEX(Trades!$D$2:$D$98, MATCH($A4&amp;"|"&amp;$D4, Trades!$G$2:$G$98, 0)))
</f>
        <v>#N/A</v>
      </c>
      <c r="G4" s="5" t="str">
        <f t="array" ref="G4">IF($D4="","",INDEX(Trades!$E$2:$E$40, MATCH($A4&amp;"|"&amp;$D4, Trades!$G$2:$G$40, 0)))
</f>
        <v>#N/A</v>
      </c>
      <c r="H4" s="5" t="str">
        <f t="array" ref="H4">IF($D4="","",INDEX(Trades!$F$2:$F$40, MATCH($A4&amp;"|"&amp;$D4, Trades!$G$2:$G$40, 0)))
</f>
        <v>#N/A</v>
      </c>
      <c r="I4" s="5" t="str">
        <f t="shared" ref="I4:I6" si="1">IF($D4="","", F4 + G4 - (H4 * 0.25))
</f>
        <v>#N/A</v>
      </c>
      <c r="J4" s="5" t="str">
        <f t="shared" ref="J4:J6" si="2">IF(D4="","",A4&amp;"|"&amp;D4)</f>
        <v>1|STARTING</v>
      </c>
    </row>
    <row r="5">
      <c r="A5" s="3">
        <v>2.0</v>
      </c>
      <c r="B5" s="4" t="s">
        <v>14</v>
      </c>
      <c r="C5" s="4" t="s">
        <v>15</v>
      </c>
      <c r="D5" s="4" t="s">
        <v>13</v>
      </c>
      <c r="E5" s="5" t="str">
        <f t="array" ref="E5">IF($D5="","",INDEX(Trades!$C$2:$C$39, MATCH($A5&amp;"|"&amp;$D5, Trades!$G$2:$G$39, 0)))
</f>
        <v>#N/A</v>
      </c>
      <c r="F5" s="5" t="str">
        <f t="array" ref="F5">IF($D5="","", INDEX(Trades!$D$2:$D$98, MATCH($A5&amp;"|"&amp;$D5, Trades!$G$2:$G$98, 0)))
</f>
        <v>#N/A</v>
      </c>
      <c r="G5" s="5" t="str">
        <f t="array" ref="G5">IF($D5="","",INDEX(Trades!$E$2:$E$40, MATCH($A5&amp;"|"&amp;$D5, Trades!$G$2:$G$40, 0)))
</f>
        <v>#N/A</v>
      </c>
      <c r="H5" s="5" t="str">
        <f t="array" ref="H5">IF($D5="","",INDEX(Trades!$F$2:$F$40, MATCH($A5&amp;"|"&amp;$D5, Trades!$G$2:$G$40, 0)))
</f>
        <v>#N/A</v>
      </c>
      <c r="I5" s="5" t="str">
        <f t="shared" si="1"/>
        <v>#N/A</v>
      </c>
      <c r="J5" s="5" t="str">
        <f t="shared" si="2"/>
        <v>2|STARTING</v>
      </c>
    </row>
    <row r="6">
      <c r="A6" s="3">
        <v>3.0</v>
      </c>
      <c r="B6" s="4" t="s">
        <v>16</v>
      </c>
      <c r="C6" s="4" t="s">
        <v>17</v>
      </c>
      <c r="D6" s="4" t="s">
        <v>13</v>
      </c>
      <c r="E6" s="5" t="str">
        <f t="array" ref="E6">IF($D6="","",INDEX(Trades!$C$2:$C$39, MATCH($A6&amp;"|"&amp;$D6, Trades!$G$2:$G$39, 0)))
</f>
        <v>#N/A</v>
      </c>
      <c r="F6" s="5" t="str">
        <f t="array" ref="F6">IF($D6="","", INDEX(Trades!$D$2:$D$98, MATCH($A6&amp;"|"&amp;$D6, Trades!$G$2:$G$98, 0)))
</f>
        <v>#N/A</v>
      </c>
      <c r="G6" s="5" t="str">
        <f t="array" ref="G6">IF($D6="","",INDEX(Trades!$E$2:$E$40, MATCH($A6&amp;"|"&amp;$D6, Trades!$G$2:$G$40, 0)))
</f>
        <v>#N/A</v>
      </c>
      <c r="H6" s="5" t="str">
        <f t="array" ref="H6">IF($D6="","",INDEX(Trades!$F$2:$F$40, MATCH($A6&amp;"|"&amp;$D6, Trades!$G$2:$G$40, 0)))
</f>
        <v>#N/A</v>
      </c>
      <c r="I6" s="5" t="str">
        <f t="shared" si="1"/>
        <v>#N/A</v>
      </c>
      <c r="J6" s="5" t="str">
        <f t="shared" si="2"/>
        <v>3|STARTING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</row>
    <row r="8">
      <c r="A8" s="1" t="s">
        <v>18</v>
      </c>
      <c r="H8" s="1" t="s">
        <v>19</v>
      </c>
      <c r="I8" s="7" t="str">
        <f>IF(I4="","", SUM(I4:I6))</f>
        <v>#N/A</v>
      </c>
    </row>
    <row r="9">
      <c r="A9" s="1" t="s">
        <v>20</v>
      </c>
    </row>
    <row r="10">
      <c r="H10" s="1" t="s">
        <v>21</v>
      </c>
      <c r="I10" s="7" t="str">
        <f>IF(I8&gt;=14,"FRANCHISE GM",
 IF(I8&gt;=11,"All-Star GM",
 IF(I8&gt;=8,"Starter GM",
 "Developmental GM")))
</f>
        <v>#N/A</v>
      </c>
    </row>
    <row r="12">
      <c r="B12" s="1" t="s">
        <v>22</v>
      </c>
      <c r="C12" s="7" t="str">
        <f>IF(I8&gt;=10,"✅ Passed — Submit Score to claim XP","❌ Not high enough — Try again")</f>
        <v>#N/A</v>
      </c>
      <c r="H12" s="1" t="s">
        <v>23</v>
      </c>
    </row>
    <row r="13">
      <c r="H13" s="1" t="s">
        <v>24</v>
      </c>
    </row>
  </sheetData>
  <mergeCells count="1">
    <mergeCell ref="C12:F12"/>
  </mergeCells>
  <conditionalFormatting sqref="C11:C12">
    <cfRule type="containsText" dxfId="0" priority="1" operator="containsText" text="✅ Passed — Submit Score to claim XP">
      <formula>NOT(ISERROR(SEARCH(("✅ Passed — Submit Score to claim XP"),(C11))))</formula>
    </cfRule>
  </conditionalFormatting>
  <conditionalFormatting sqref="C12:F12">
    <cfRule type="containsText" dxfId="1" priority="2" operator="containsText" text="❌ Not high enough — Try again">
      <formula>NOT(ISERROR(SEARCH(("❌ Not high enough — Try again"),(C12))))</formula>
    </cfRule>
  </conditionalFormatting>
  <dataValidations>
    <dataValidation type="list" allowBlank="1" showErrorMessage="1" sqref="D4:D6">
      <formula1>"Trade Up,Trade Down,Keep,Vet Trade,Big Swing Star Trade,STARTING"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5"/>
  </cols>
  <sheetData>
    <row r="1">
      <c r="A1" s="1" t="s">
        <v>1</v>
      </c>
      <c r="B1" s="1" t="s">
        <v>25</v>
      </c>
      <c r="C1" s="1" t="s">
        <v>5</v>
      </c>
      <c r="D1" s="1" t="s">
        <v>26</v>
      </c>
      <c r="E1" s="1" t="s">
        <v>27</v>
      </c>
      <c r="F1" s="1" t="s">
        <v>28</v>
      </c>
      <c r="G1" s="1" t="s">
        <v>10</v>
      </c>
    </row>
    <row r="2">
      <c r="A2" s="1">
        <v>1.0</v>
      </c>
      <c r="B2" s="1" t="s">
        <v>29</v>
      </c>
      <c r="C2" s="1" t="s">
        <v>30</v>
      </c>
      <c r="D2" s="1">
        <v>2.0</v>
      </c>
      <c r="E2" s="1">
        <v>1.0</v>
      </c>
      <c r="F2" s="1">
        <v>0.0</v>
      </c>
      <c r="G2" s="7" t="str">
        <f t="shared" ref="G2:G16" si="1"> A2 &amp; "|" &amp; B2
</f>
        <v>1|Trade Up</v>
      </c>
    </row>
    <row r="3">
      <c r="A3" s="1">
        <v>1.0</v>
      </c>
      <c r="B3" s="1" t="s">
        <v>31</v>
      </c>
      <c r="C3" s="1" t="s">
        <v>32</v>
      </c>
      <c r="D3" s="1">
        <v>1.0</v>
      </c>
      <c r="E3" s="1">
        <v>2.0</v>
      </c>
      <c r="F3" s="1">
        <v>0.0</v>
      </c>
      <c r="G3" s="7" t="str">
        <f t="shared" si="1"/>
        <v>1|Trade Down</v>
      </c>
    </row>
    <row r="4">
      <c r="A4" s="1">
        <v>1.0</v>
      </c>
      <c r="B4" s="1" t="s">
        <v>33</v>
      </c>
      <c r="C4" s="1" t="s">
        <v>34</v>
      </c>
      <c r="D4" s="1">
        <v>1.0</v>
      </c>
      <c r="E4" s="1">
        <v>1.0</v>
      </c>
      <c r="F4" s="1">
        <v>0.0</v>
      </c>
      <c r="G4" s="7" t="str">
        <f t="shared" si="1"/>
        <v>1|Keep</v>
      </c>
    </row>
    <row r="5">
      <c r="A5" s="1">
        <v>1.0</v>
      </c>
      <c r="B5" s="1" t="s">
        <v>35</v>
      </c>
      <c r="C5" s="1" t="s">
        <v>36</v>
      </c>
      <c r="D5" s="1">
        <v>1.0</v>
      </c>
      <c r="E5" s="1">
        <v>0.0</v>
      </c>
      <c r="F5" s="1">
        <v>3.0</v>
      </c>
      <c r="G5" s="7" t="str">
        <f t="shared" si="1"/>
        <v>1|Vet Trade</v>
      </c>
    </row>
    <row r="6">
      <c r="A6" s="1">
        <v>1.0</v>
      </c>
      <c r="B6" s="1" t="s">
        <v>37</v>
      </c>
      <c r="C6" s="1" t="s">
        <v>38</v>
      </c>
      <c r="D6" s="1">
        <v>1.0</v>
      </c>
      <c r="E6" s="1">
        <v>-2.0</v>
      </c>
      <c r="F6" s="1">
        <v>3.0</v>
      </c>
      <c r="G6" s="7" t="str">
        <f t="shared" si="1"/>
        <v>1|Big Swing Star Trade</v>
      </c>
    </row>
    <row r="7">
      <c r="A7" s="1">
        <v>2.0</v>
      </c>
      <c r="B7" s="1" t="s">
        <v>29</v>
      </c>
      <c r="C7" s="1" t="s">
        <v>39</v>
      </c>
      <c r="D7" s="1">
        <v>2.0</v>
      </c>
      <c r="E7" s="1">
        <v>1.0</v>
      </c>
      <c r="F7" s="1">
        <v>1.0</v>
      </c>
      <c r="G7" s="7" t="str">
        <f t="shared" si="1"/>
        <v>2|Trade Up</v>
      </c>
    </row>
    <row r="8">
      <c r="A8" s="1">
        <v>2.0</v>
      </c>
      <c r="B8" s="1" t="s">
        <v>31</v>
      </c>
      <c r="C8" s="1" t="s">
        <v>40</v>
      </c>
      <c r="D8" s="1">
        <v>2.0</v>
      </c>
      <c r="E8" s="1">
        <v>2.0</v>
      </c>
      <c r="F8" s="1">
        <v>1.0</v>
      </c>
      <c r="G8" s="7" t="str">
        <f t="shared" si="1"/>
        <v>2|Trade Down</v>
      </c>
    </row>
    <row r="9">
      <c r="A9" s="1">
        <v>2.0</v>
      </c>
      <c r="B9" s="1" t="s">
        <v>33</v>
      </c>
      <c r="C9" s="1" t="s">
        <v>41</v>
      </c>
      <c r="D9" s="1">
        <v>1.0</v>
      </c>
      <c r="E9" s="1">
        <v>2.0</v>
      </c>
      <c r="F9" s="1">
        <v>0.0</v>
      </c>
      <c r="G9" s="7" t="str">
        <f t="shared" si="1"/>
        <v>2|Keep</v>
      </c>
    </row>
    <row r="10">
      <c r="A10" s="1">
        <v>2.0</v>
      </c>
      <c r="B10" s="1" t="s">
        <v>35</v>
      </c>
      <c r="C10" s="1" t="s">
        <v>42</v>
      </c>
      <c r="D10" s="1">
        <v>1.0</v>
      </c>
      <c r="E10" s="1">
        <v>-1.0</v>
      </c>
      <c r="F10" s="1">
        <v>1.0</v>
      </c>
      <c r="G10" s="7" t="str">
        <f t="shared" si="1"/>
        <v>2|Vet Trade</v>
      </c>
    </row>
    <row r="11">
      <c r="A11" s="1">
        <v>2.0</v>
      </c>
      <c r="B11" s="1" t="s">
        <v>37</v>
      </c>
      <c r="C11" s="1" t="s">
        <v>43</v>
      </c>
      <c r="D11" s="1">
        <v>3.0</v>
      </c>
      <c r="E11" s="1">
        <v>1.0</v>
      </c>
      <c r="F11" s="1">
        <v>0.0</v>
      </c>
      <c r="G11" s="7" t="str">
        <f t="shared" si="1"/>
        <v>2|Big Swing Star Trade</v>
      </c>
    </row>
    <row r="12">
      <c r="A12" s="1">
        <v>3.0</v>
      </c>
      <c r="B12" s="1" t="s">
        <v>29</v>
      </c>
      <c r="C12" s="1" t="s">
        <v>44</v>
      </c>
      <c r="D12" s="1">
        <v>1.0</v>
      </c>
      <c r="E12" s="1">
        <v>1.0</v>
      </c>
      <c r="F12" s="1">
        <v>2.0</v>
      </c>
      <c r="G12" s="7" t="str">
        <f t="shared" si="1"/>
        <v>3|Trade Up</v>
      </c>
    </row>
    <row r="13">
      <c r="A13" s="1">
        <v>3.0</v>
      </c>
      <c r="B13" s="1" t="s">
        <v>31</v>
      </c>
      <c r="C13" s="1" t="s">
        <v>45</v>
      </c>
      <c r="D13" s="1">
        <v>2.0</v>
      </c>
      <c r="E13" s="1">
        <v>0.0</v>
      </c>
      <c r="F13" s="1">
        <v>0.0</v>
      </c>
      <c r="G13" s="7" t="str">
        <f t="shared" si="1"/>
        <v>3|Trade Down</v>
      </c>
    </row>
    <row r="14">
      <c r="A14" s="1">
        <v>3.0</v>
      </c>
      <c r="B14" s="1" t="s">
        <v>33</v>
      </c>
      <c r="C14" s="1" t="s">
        <v>46</v>
      </c>
      <c r="D14" s="1">
        <v>0.0</v>
      </c>
      <c r="E14" s="1">
        <v>1.0</v>
      </c>
      <c r="F14" s="1">
        <v>3.0</v>
      </c>
      <c r="G14" s="7" t="str">
        <f t="shared" si="1"/>
        <v>3|Keep</v>
      </c>
    </row>
    <row r="15">
      <c r="A15" s="1">
        <v>3.0</v>
      </c>
      <c r="B15" s="1" t="s">
        <v>35</v>
      </c>
      <c r="C15" s="1" t="s">
        <v>47</v>
      </c>
      <c r="D15" s="1">
        <v>3.0</v>
      </c>
      <c r="E15" s="1">
        <v>2.0</v>
      </c>
      <c r="F15" s="1">
        <v>0.0</v>
      </c>
      <c r="G15" s="7" t="str">
        <f t="shared" si="1"/>
        <v>3|Vet Trade</v>
      </c>
    </row>
    <row r="16">
      <c r="A16" s="1">
        <v>3.0</v>
      </c>
      <c r="B16" s="1" t="s">
        <v>37</v>
      </c>
      <c r="C16" s="1" t="s">
        <v>48</v>
      </c>
      <c r="D16" s="1">
        <v>5.0</v>
      </c>
      <c r="E16" s="1">
        <v>-2.0</v>
      </c>
      <c r="F16" s="1">
        <v>0.0</v>
      </c>
      <c r="G16" s="7" t="str">
        <f t="shared" si="1"/>
        <v>3|Big Swing Star Trade</v>
      </c>
    </row>
  </sheetData>
  <drawing r:id="rId1"/>
</worksheet>
</file>